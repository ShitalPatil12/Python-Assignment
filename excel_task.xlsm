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cer\Music\MapUp_Python_Assessment1\submissions\"/>
    </mc:Choice>
  </mc:AlternateContent>
  <bookViews>
    <workbookView xWindow="0" yWindow="0" windowWidth="20490" windowHeight="775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20" l="1"/>
  <c r="F25" i="20"/>
  <c r="F26" i="20"/>
  <c r="F27" i="20"/>
  <c r="F28" i="20"/>
  <c r="F29" i="20"/>
  <c r="F30" i="20"/>
  <c r="F31" i="20"/>
  <c r="F32" i="20"/>
  <c r="F33" i="20"/>
  <c r="F34" i="20"/>
  <c r="F35" i="20"/>
  <c r="F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C22" i="19" l="1" a="1"/>
  <c r="C22" i="19" s="1"/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6" i="18"/>
  <c r="D29" i="18" s="1"/>
  <c r="E6" i="18"/>
  <c r="F6" i="18"/>
  <c r="F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AA2" i="15"/>
  <c r="AA2" i="1"/>
  <c r="Z2" i="1"/>
  <c r="B30" i="18" l="1"/>
  <c r="B29" i="18"/>
  <c r="E30" i="18"/>
  <c r="C30" i="18"/>
  <c r="D30" i="18"/>
  <c r="F30" i="18"/>
  <c r="D28" i="18"/>
  <c r="F28" i="18"/>
  <c r="E29" i="18"/>
  <c r="C29" i="18"/>
  <c r="C28" i="18"/>
  <c r="E28" i="18"/>
  <c r="B28" i="18"/>
</calcChain>
</file>

<file path=xl/sharedStrings.xml><?xml version="1.0" encoding="utf-8"?>
<sst xmlns="http://schemas.openxmlformats.org/spreadsheetml/2006/main" count="352" uniqueCount="199">
  <si>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</si>
  <si>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</si>
  <si>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</si>
  <si>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</si>
  <si>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</si>
  <si>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</si>
  <si>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</si>
  <si>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</si>
  <si>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</si>
  <si>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</si>
  <si>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</si>
  <si>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</si>
  <si>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</si>
  <si>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</si>
  <si>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</si>
  <si>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</si>
  <si>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</si>
  <si>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</si>
  <si>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</si>
  <si>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</si>
  <si>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</si>
  <si>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</si>
  <si>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</si>
  <si>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</si>
  <si>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</si>
  <si>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</si>
  <si>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</si>
  <si>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</si>
  <si>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</si>
  <si>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</si>
  <si>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</si>
  <si>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</si>
  <si>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</si>
  <si>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</si>
  <si>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</si>
  <si>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</si>
  <si>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</si>
  <si>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</si>
  <si>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</si>
  <si>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</si>
  <si>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</si>
  <si>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</si>
  <si>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</si>
  <si>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</si>
  <si>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</si>
  <si>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</si>
  <si>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</si>
  <si>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</si>
  <si>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</si>
  <si>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</si>
  <si>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</si>
  <si>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</si>
  <si>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</si>
  <si>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</si>
  <si>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</si>
  <si>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</si>
  <si>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</si>
  <si>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</si>
  <si>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</si>
  <si>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</si>
  <si>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</si>
  <si>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</si>
  <si>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</si>
  <si>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</si>
  <si>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</si>
  <si>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</si>
  <si>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</si>
  <si>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</si>
  <si>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</si>
  <si>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</si>
  <si>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</si>
  <si>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</si>
  <si>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</si>
  <si>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</si>
  <si>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</si>
  <si>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</si>
  <si>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</si>
  <si>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</si>
  <si>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</si>
  <si>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</si>
  <si>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</si>
  <si>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</si>
  <si>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</si>
  <si>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</si>
  <si>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</si>
  <si>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</si>
  <si>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</si>
  <si>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</si>
  <si>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</si>
  <si>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</si>
  <si>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</si>
  <si>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</si>
  <si>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</si>
  <si>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</si>
  <si>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</si>
  <si>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</si>
  <si>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</si>
  <si>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</si>
  <si>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</si>
  <si>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</si>
  <si>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</si>
  <si>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</si>
  <si>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</si>
  <si>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</si>
  <si>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</si>
  <si>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</si>
  <si>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</si>
  <si>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</si>
  <si>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</si>
  <si>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</si>
  <si>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</si>
  <si>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</si>
  <si>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</si>
  <si>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</si>
  <si>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</si>
  <si>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</si>
  <si>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</si>
  <si>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</si>
  <si>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</si>
  <si>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</si>
  <si>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</si>
  <si>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</si>
  <si>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</si>
  <si>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</si>
  <si>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</si>
  <si>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</si>
  <si>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</si>
  <si>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</si>
  <si>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</si>
  <si>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</si>
  <si>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</si>
  <si>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</si>
  <si>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</si>
  <si>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</si>
  <si>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</si>
  <si>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</si>
  <si>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</si>
  <si>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</si>
  <si>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</si>
  <si>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</si>
  <si>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</si>
  <si>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</si>
  <si>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</si>
  <si>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</si>
  <si>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</si>
  <si>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</si>
  <si>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</si>
  <si>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</si>
  <si>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</si>
  <si>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</si>
  <si>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</si>
  <si>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</si>
  <si>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</si>
  <si>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</si>
  <si>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</si>
  <si>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</si>
  <si>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</si>
  <si>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</si>
  <si>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</si>
  <si>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</si>
  <si>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</si>
  <si>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</si>
  <si>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</si>
  <si>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</si>
  <si>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</si>
  <si>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</si>
  <si>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</si>
  <si>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</si>
  <si>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</si>
  <si>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</si>
  <si>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</si>
  <si>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</si>
  <si>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</si>
  <si>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</si>
  <si>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</si>
  <si>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</si>
  <si>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</si>
  <si>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Calculations</t>
  </si>
  <si>
    <t>Formula "=SUMIF(H:H,"&gt;20")"</t>
  </si>
  <si>
    <t>Done</t>
  </si>
  <si>
    <t>Status</t>
  </si>
  <si>
    <t>Breaking Down the Values:</t>
  </si>
  <si>
    <t>Let's assume the value we want to split is in cell A16 in Table_A.</t>
  </si>
  <si>
    <t>The formula for col_1 uses LEFT and FIND functions:</t>
  </si>
  <si>
    <t>LEFT(A16, FIND("-", A16) - 1) extracts characters from the start of the string in A16 until the first hyphen ("-"), giving the value for col_1.</t>
  </si>
  <si>
    <t>Splitting Subsequent Parts:</t>
  </si>
  <si>
    <t>Explanation :</t>
  </si>
  <si>
    <t>For col_3, col_4, col_5, col_6, we use the MID and FIND functions:</t>
  </si>
  <si>
    <t>Each MID formula begins after a specific hyphen and extracts characters until the next hyphen.</t>
  </si>
  <si>
    <t>The FIND function is used to locate each hyphen.</t>
  </si>
  <si>
    <t>Applying the Formulas:</t>
  </si>
  <si>
    <t>Once you've created the formulas for one row, we can drag these formulas down to cover all rows in Table_A.</t>
  </si>
  <si>
    <t>Dragging these formulas will split the values in each row into distinct columns as required in the Table_A.</t>
  </si>
  <si>
    <t>Formula Used Is "(=SUM(IF(ISNUMBER(C2:C11), C2:C11, IFERROR(VALUE(C2:C11), 20))))"</t>
  </si>
  <si>
    <t>Handling #N/A Values:
ISNUMBER(C12:C21) checks each value in the range C12:C21 and returns TRUE for cells containing numbers.
IF(ISNUMBER(C12:C21), C12:C21, IFERROR(VALUE(C12:C21), 20)) uses nested IF functions:
If the cell contains a number (non-error), it retains the original value.
If it's an error, it convert the value to a number using VALUE and handles any further errors by replacing them with '20'.
Calculating Sum:
SUM function totals the adjusted values after handling #N/A errors.</t>
  </si>
  <si>
    <t>name_1_value</t>
  </si>
  <si>
    <t>name_2_value</t>
  </si>
  <si>
    <t>=INDEX(Table_A,MATCH(VLOOKUP(A2, Table_B, 2, FALSE), Table_A[#Headers], 0),MATCH(VLOOKUP(B2, Table_B, 2, FALSE), Table_A[#Headers], 0))</t>
  </si>
  <si>
    <t>The formula retrieves the values from Table_A based on the names matched in Table_B for both "name_1" and "name_2" in Table_C. It utilizes nested VLOOKUP functions to find the corresponding names in Table_B, then uses MATCH and INDEX functions to fetch the appropriate value from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</si>
</sst>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\-mm\-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111827"/>
      <name val="Courier New"/>
      <family val="3"/>
    </font>
    <font>
      <sz val="12"/>
      <color rgb="FF37415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3" fillId="0" borderId="10" xfId="0" applyFont="1" applyBorder="1"/>
    <xf numFmtId="0" fontId="8" fillId="0" borderId="9" xfId="0" applyFont="1" applyBorder="1"/>
    <xf numFmtId="0" fontId="3" fillId="0" borderId="0" xfId="0" applyFont="1" applyAlignment="1">
      <alignment wrapText="1"/>
    </xf>
    <xf numFmtId="0" fontId="8" fillId="0" borderId="1" xfId="0" applyFont="1" applyBorder="1" applyAlignment="1">
      <alignment wrapText="1"/>
    </xf>
    <xf numFmtId="0" fontId="19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4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1" t="s">
        <v>171</v>
      </c>
      <c r="B9" s="23" t="s">
        <v>169</v>
      </c>
    </row>
    <row r="10" spans="1:3" x14ac:dyDescent="0.2">
      <c r="A10" s="30" t="s">
        <v>172</v>
      </c>
      <c r="B10" s="32">
        <v>25</v>
      </c>
    </row>
    <row r="11" spans="1:3" x14ac:dyDescent="0.2">
      <c r="A11" s="30" t="s">
        <v>55</v>
      </c>
      <c r="B11" s="32">
        <v>30</v>
      </c>
    </row>
    <row r="12" spans="1:3" x14ac:dyDescent="0.2">
      <c r="A12" s="30" t="s">
        <v>56</v>
      </c>
      <c r="B12" s="32">
        <v>10</v>
      </c>
    </row>
    <row r="13" spans="1:3" x14ac:dyDescent="0.2">
      <c r="A13" s="30" t="s">
        <v>85</v>
      </c>
      <c r="B13" s="32">
        <v>20</v>
      </c>
    </row>
    <row r="14" spans="1:3" x14ac:dyDescent="0.2">
      <c r="A14" s="30" t="s">
        <v>98</v>
      </c>
      <c r="B14" s="32">
        <v>40</v>
      </c>
    </row>
    <row r="15" spans="1:3" x14ac:dyDescent="0.2">
      <c r="A15" s="33" t="s">
        <v>170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0"/>
  <sheetViews>
    <sheetView topLeftCell="D1" zoomScaleNormal="100" workbookViewId="0">
      <pane ySplit="1" topLeftCell="A6" activePane="bottomLeft" state="frozen"/>
      <selection pane="bottomLeft" activeCell="C5" sqref="C5"/>
    </sheetView>
  </sheetViews>
  <sheetFormatPr defaultColWidth="9" defaultRowHeight="15" x14ac:dyDescent="0.25"/>
  <cols>
    <col min="1" max="1" width="25.33203125" style="1" customWidth="1"/>
    <col min="2" max="2" width="8.6640625" style="1" bestFit="1" customWidth="1"/>
    <col min="3" max="3" width="17.83203125" style="1" bestFit="1" customWidth="1"/>
    <col min="4" max="4" width="19.33203125" style="21" bestFit="1" customWidth="1"/>
    <col min="5" max="5" width="15.83203125" style="1" bestFit="1" customWidth="1"/>
    <col min="6" max="6" width="17.1640625" style="21" bestFit="1" customWidth="1"/>
    <col min="7" max="7" width="9.33203125" style="1" bestFit="1" customWidth="1"/>
    <col min="8" max="9" width="9.6640625" style="1" bestFit="1" customWidth="1"/>
    <col min="10" max="10" width="11.83203125" style="1" bestFit="1" customWidth="1"/>
    <col min="11" max="12" width="12.1640625" style="1" bestFit="1" customWidth="1"/>
    <col min="13" max="13" width="9.33203125" style="1" bestFit="1" customWidth="1"/>
    <col min="14" max="15" width="9.6640625" style="1" bestFit="1" customWidth="1"/>
    <col min="16" max="16" width="7.6640625" style="1" bestFit="1" customWidth="1"/>
    <col min="17" max="18" width="8" style="1" bestFit="1" customWidth="1"/>
    <col min="19" max="19" width="12.5" style="1" bestFit="1" customWidth="1"/>
    <col min="20" max="20" width="13" style="1" bestFit="1" customWidth="1"/>
    <col min="21" max="21" width="10.5" style="1" bestFit="1" customWidth="1"/>
    <col min="22" max="23" width="10.83203125" style="1" bestFit="1" customWidth="1"/>
    <col min="24" max="24" width="16.1640625" style="41" bestFit="1" customWidth="1"/>
    <col min="25" max="26" width="9" style="1"/>
    <col min="27" max="27" width="22.5" style="1" bestFit="1" customWidth="1"/>
    <col min="28" max="16384" width="9" style="1"/>
  </cols>
  <sheetData>
    <row r="1" spans="1:27" s="3" customFormat="1" ht="14.85" customHeight="1" x14ac:dyDescent="0.2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0" t="s">
        <v>105</v>
      </c>
      <c r="AA1" s="3" t="s">
        <v>177</v>
      </c>
    </row>
    <row r="2" spans="1:27" x14ac:dyDescent="0.25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  <c r="Z2" s="1" t="str">
        <f>IF(A1=-1, "red", IF(A1=0, "green", ""))</f>
        <v/>
      </c>
      <c r="AA2" s="1">
        <f>SUMIF(H:H,"&gt;20")</f>
        <v>1473.0000000000002</v>
      </c>
    </row>
    <row r="3" spans="1:27" x14ac:dyDescent="0.25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7" x14ac:dyDescent="0.25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7" x14ac:dyDescent="0.25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7" x14ac:dyDescent="0.25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7" x14ac:dyDescent="0.25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7" x14ac:dyDescent="0.25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7" x14ac:dyDescent="0.25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7" x14ac:dyDescent="0.25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7" x14ac:dyDescent="0.25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7" x14ac:dyDescent="0.25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1">
        <v>45116</v>
      </c>
    </row>
    <row r="13" spans="1:27" x14ac:dyDescent="0.25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7" x14ac:dyDescent="0.25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7" x14ac:dyDescent="0.25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7" x14ac:dyDescent="0.25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1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1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1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</sheetData>
  <conditionalFormatting sqref="A1:A1048576">
    <cfRule type="duplicateValues" dxfId="8" priority="9"/>
  </conditionalFormatting>
  <conditionalFormatting sqref="B1:B1048576">
    <cfRule type="duplicateValues" dxfId="7" priority="8"/>
  </conditionalFormatting>
  <conditionalFormatting sqref="J2:L40">
    <cfRule type="cellIs" dxfId="6" priority="7" operator="equal">
      <formula>-1</formula>
    </cfRule>
  </conditionalFormatting>
  <conditionalFormatting sqref="J12">
    <cfRule type="containsText" dxfId="5" priority="6" operator="containsText" text="0">
      <formula>NOT(ISERROR(SEARCH("0",J12)))</formula>
    </cfRule>
  </conditionalFormatting>
  <conditionalFormatting sqref="G26:V26">
    <cfRule type="cellIs" dxfId="4" priority="5" operator="equal">
      <formula>0</formula>
    </cfRule>
  </conditionalFormatting>
  <conditionalFormatting sqref="G12:W12">
    <cfRule type="cellIs" dxfId="3" priority="4" operator="equal">
      <formula>0</formula>
    </cfRule>
  </conditionalFormatting>
  <conditionalFormatting sqref="G1:X40">
    <cfRule type="cellIs" dxfId="2" priority="3" operator="equal">
      <formula>0</formula>
    </cfRule>
  </conditionalFormatting>
  <conditionalFormatting sqref="G2:X40">
    <cfRule type="cellIs" dxfId="1" priority="1" operator="equal">
      <formula>-1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27" x14ac:dyDescent="0.25">
      <c r="A1" s="4" t="s">
        <v>47</v>
      </c>
      <c r="B1" s="4" t="s">
        <v>48</v>
      </c>
      <c r="C1" s="4" t="s">
        <v>44</v>
      </c>
      <c r="D1" s="1" t="s">
        <v>180</v>
      </c>
      <c r="E1" s="4" t="s">
        <v>176</v>
      </c>
    </row>
    <row r="2" spans="1:27" x14ac:dyDescent="0.25">
      <c r="A2" s="2"/>
      <c r="B2" s="5" t="s">
        <v>160</v>
      </c>
      <c r="C2" s="2"/>
      <c r="AA2" s="1" t="b">
        <f>Task_1!C5=SUMIF(H:H,"&gt;20")</f>
        <v>0</v>
      </c>
    </row>
    <row r="3" spans="1:27" x14ac:dyDescent="0.25">
      <c r="A3" s="6">
        <v>1</v>
      </c>
      <c r="B3" s="2" t="s">
        <v>107</v>
      </c>
      <c r="C3" s="2" t="s">
        <v>45</v>
      </c>
      <c r="D3" s="1" t="s">
        <v>179</v>
      </c>
      <c r="E3" s="1">
        <v>5</v>
      </c>
    </row>
    <row r="4" spans="1:27" x14ac:dyDescent="0.25">
      <c r="A4" s="6">
        <v>2</v>
      </c>
      <c r="B4" s="2" t="s">
        <v>46</v>
      </c>
      <c r="C4" s="2"/>
      <c r="D4" s="1" t="s">
        <v>179</v>
      </c>
      <c r="E4" s="1">
        <v>5</v>
      </c>
    </row>
    <row r="5" spans="1:27" x14ac:dyDescent="0.25">
      <c r="A5" s="6">
        <v>3</v>
      </c>
      <c r="B5" s="2" t="s">
        <v>104</v>
      </c>
      <c r="C5" s="39" t="s">
        <v>178</v>
      </c>
      <c r="D5" s="1" t="s">
        <v>179</v>
      </c>
      <c r="E5" s="1">
        <v>10</v>
      </c>
    </row>
    <row r="6" spans="1:27" x14ac:dyDescent="0.25">
      <c r="A6" s="6">
        <v>4</v>
      </c>
      <c r="B6" s="2" t="s">
        <v>106</v>
      </c>
      <c r="C6" s="2"/>
      <c r="D6" s="1" t="s">
        <v>179</v>
      </c>
      <c r="E6" s="1">
        <v>5</v>
      </c>
    </row>
    <row r="7" spans="1:27" x14ac:dyDescent="0.25">
      <c r="A7" s="2"/>
      <c r="B7" s="2"/>
      <c r="C7" s="2"/>
    </row>
    <row r="13" spans="1:27" x14ac:dyDescent="0.25">
      <c r="E13" s="2"/>
    </row>
    <row r="14" spans="1:27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topLeftCell="A10" zoomScaleNormal="100" workbookViewId="0">
      <selection activeCell="P1" sqref="P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16" s="36" customFormat="1" ht="21" x14ac:dyDescent="0.35">
      <c r="A1" s="37" t="s">
        <v>55</v>
      </c>
      <c r="B1" s="36" t="s">
        <v>164</v>
      </c>
      <c r="P1" s="36" t="s">
        <v>179</v>
      </c>
    </row>
    <row r="2" spans="1:16" s="36" customFormat="1" ht="21" x14ac:dyDescent="0.35">
      <c r="B2" s="36" t="s">
        <v>161</v>
      </c>
      <c r="P2" s="36" t="s">
        <v>179</v>
      </c>
    </row>
    <row r="3" spans="1:16" ht="15" x14ac:dyDescent="0.25">
      <c r="A3" s="1"/>
      <c r="B3" s="1"/>
      <c r="C3" s="1"/>
      <c r="D3" s="1"/>
      <c r="E3" s="1"/>
      <c r="F3" s="1"/>
      <c r="G3" s="1"/>
    </row>
    <row r="4" spans="1:16" ht="23.25" x14ac:dyDescent="0.35">
      <c r="A4" s="15" t="s">
        <v>162</v>
      </c>
      <c r="B4" s="1"/>
      <c r="C4" s="1"/>
      <c r="D4" s="1"/>
      <c r="E4" s="1"/>
      <c r="F4" s="1"/>
      <c r="G4" s="1"/>
    </row>
    <row r="5" spans="1:16" ht="15" x14ac:dyDescent="0.2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  <c r="H5" s="42"/>
    </row>
    <row r="6" spans="1:16" ht="15" x14ac:dyDescent="0.25">
      <c r="A6" s="7" t="s">
        <v>40</v>
      </c>
      <c r="B6" s="10">
        <f>INDEX(Dataset!$A$1:$X$40, MATCH($A6, Dataset!$A$1:$A$40, 0), MATCH(B$5, Dataset!$1:$1, 0))</f>
        <v>2.7</v>
      </c>
      <c r="C6" s="10">
        <f>INDEX(Dataset!$A$1:$X$40, MATCH($A6, Dataset!$A$1:$A$40, 0), MATCH(C$5, Dataset!$1:$1, 0))</f>
        <v>7.6</v>
      </c>
      <c r="D6" s="10">
        <f>INDEX(Dataset!$A$1:$X$40, MATCH($A6, Dataset!$A$1:$A$40, 0), MATCH(D$5, Dataset!$1:$1, 0))</f>
        <v>4.2</v>
      </c>
      <c r="E6" s="10">
        <f>INDEX(Dataset!$A$1:$X$40, MATCH($A6, Dataset!$A$1:$A$40, 0), MATCH(E$5, Dataset!$1:$1, 0))</f>
        <v>8.9</v>
      </c>
      <c r="F6" s="10">
        <f>INDEX(Dataset!$A$1:$X$40, MATCH($A6, Dataset!$A$1:$A$40, 0), MATCH(F$5, Dataset!$1:$1, 0))</f>
        <v>4.2</v>
      </c>
    </row>
    <row r="7" spans="1:16" ht="15" x14ac:dyDescent="0.25">
      <c r="A7" s="7" t="s">
        <v>4</v>
      </c>
      <c r="B7" s="10">
        <f>INDEX(Dataset!$A$1:$X$40, MATCH($A7, Dataset!$A$1:$A$40, 0), MATCH(B$5, Dataset!$1:$1, 0))</f>
        <v>2.7</v>
      </c>
      <c r="C7" s="10">
        <f>INDEX(Dataset!$A$1:$X$40, MATCH($A7, Dataset!$A$1:$A$40, 0), MATCH(C$5, Dataset!$1:$1, 0))</f>
        <v>7.6</v>
      </c>
      <c r="D7" s="10">
        <f>INDEX(Dataset!$A$1:$X$40, MATCH($A7, Dataset!$A$1:$A$40, 0), MATCH(D$5, Dataset!$1:$1, 0))</f>
        <v>4.2</v>
      </c>
      <c r="E7" s="10">
        <f>INDEX(Dataset!$A$1:$X$40, MATCH($A7, Dataset!$A$1:$A$40, 0), MATCH(E$5, Dataset!$1:$1, 0))</f>
        <v>8.9</v>
      </c>
      <c r="F7" s="10">
        <f>INDEX(Dataset!$A$1:$X$40, MATCH($A7, Dataset!$A$1:$A$40, 0), MATCH(F$5, Dataset!$1:$1, 0))</f>
        <v>4.2</v>
      </c>
    </row>
    <row r="8" spans="1:16" ht="15" x14ac:dyDescent="0.25">
      <c r="A8" s="7" t="s">
        <v>7</v>
      </c>
      <c r="B8" s="10">
        <f>INDEX(Dataset!$A$1:$X$40, MATCH($A8, Dataset!$A$1:$A$40, 0), MATCH(B$5, Dataset!$1:$1, 0))</f>
        <v>3.6</v>
      </c>
      <c r="C8" s="10">
        <f>INDEX(Dataset!$A$1:$X$40, MATCH($A8, Dataset!$A$1:$A$40, 0), MATCH(C$5, Dataset!$1:$1, 0))</f>
        <v>11.1</v>
      </c>
      <c r="D8" s="10">
        <f>INDEX(Dataset!$A$1:$X$40, MATCH($A8, Dataset!$A$1:$A$40, 0), MATCH(D$5, Dataset!$1:$1, 0))</f>
        <v>5.8</v>
      </c>
      <c r="E8" s="10">
        <f>INDEX(Dataset!$A$1:$X$40, MATCH($A8, Dataset!$A$1:$A$40, 0), MATCH(E$5, Dataset!$1:$1, 0))</f>
        <v>12.2</v>
      </c>
      <c r="F8" s="10">
        <f>INDEX(Dataset!$A$1:$X$40, MATCH($A8, Dataset!$A$1:$A$40, 0), MATCH(F$5, Dataset!$1:$1, 0))</f>
        <v>5.8</v>
      </c>
    </row>
    <row r="9" spans="1:16" ht="15" x14ac:dyDescent="0.25">
      <c r="A9" s="7" t="s">
        <v>8</v>
      </c>
      <c r="B9" s="10">
        <f>INDEX(Dataset!$A$1:$X$40, MATCH($A9, Dataset!$A$1:$A$40, 0), MATCH(B$5, Dataset!$1:$1, 0))</f>
        <v>4.9000000000000004</v>
      </c>
      <c r="C9" s="10">
        <f>INDEX(Dataset!$A$1:$X$40, MATCH($A9, Dataset!$A$1:$A$40, 0), MATCH(C$5, Dataset!$1:$1, 0))</f>
        <v>13.3</v>
      </c>
      <c r="D9" s="10">
        <f>INDEX(Dataset!$A$1:$X$40, MATCH($A9, Dataset!$A$1:$A$40, 0), MATCH(D$5, Dataset!$1:$1, 0))</f>
        <v>8.1</v>
      </c>
      <c r="E9" s="10">
        <f>INDEX(Dataset!$A$1:$X$40, MATCH($A9, Dataset!$A$1:$A$40, 0), MATCH(E$5, Dataset!$1:$1, 0))</f>
        <v>17</v>
      </c>
      <c r="F9" s="10">
        <f>INDEX(Dataset!$A$1:$X$40, MATCH($A9, Dataset!$A$1:$A$40, 0), MATCH(F$5, Dataset!$1:$1, 0))</f>
        <v>8.1</v>
      </c>
    </row>
    <row r="10" spans="1:16" ht="15" x14ac:dyDescent="0.25">
      <c r="A10" s="7" t="s">
        <v>11</v>
      </c>
      <c r="B10" s="10">
        <f>INDEX(Dataset!$A$1:$X$40, MATCH($A10, Dataset!$A$1:$A$40, 0), MATCH(B$5, Dataset!$1:$1, 0))</f>
        <v>9.4</v>
      </c>
      <c r="C10" s="10">
        <f>INDEX(Dataset!$A$1:$X$40, MATCH($A10, Dataset!$A$1:$A$40, 0), MATCH(C$5, Dataset!$1:$1, 0))</f>
        <v>28.3</v>
      </c>
      <c r="D10" s="10">
        <f>INDEX(Dataset!$A$1:$X$40, MATCH($A10, Dataset!$A$1:$A$40, 0), MATCH(D$5, Dataset!$1:$1, 0))</f>
        <v>16.100000000000001</v>
      </c>
      <c r="E10" s="10">
        <f>INDEX(Dataset!$A$1:$X$40, MATCH($A10, Dataset!$A$1:$A$40, 0), MATCH(E$5, Dataset!$1:$1, 0))</f>
        <v>32.799999999999997</v>
      </c>
      <c r="F10" s="10">
        <f>INDEX(Dataset!$A$1:$X$40, MATCH($A10, Dataset!$A$1:$A$40, 0), MATCH(F$5, Dataset!$1:$1, 0))</f>
        <v>16.100000000000001</v>
      </c>
    </row>
    <row r="11" spans="1:16" ht="15" x14ac:dyDescent="0.25">
      <c r="A11" s="7" t="s">
        <v>12</v>
      </c>
      <c r="B11" s="10">
        <f>INDEX(Dataset!$A$1:$X$40, MATCH($A11, Dataset!$A$1:$A$40, 0), MATCH(B$5, Dataset!$1:$1, 0))</f>
        <v>11.6</v>
      </c>
      <c r="C11" s="10">
        <f>INDEX(Dataset!$A$1:$X$40, MATCH($A11, Dataset!$A$1:$A$40, 0), MATCH(C$5, Dataset!$1:$1, 0))</f>
        <v>35.200000000000003</v>
      </c>
      <c r="D11" s="10">
        <f>INDEX(Dataset!$A$1:$X$40, MATCH($A11, Dataset!$A$1:$A$40, 0), MATCH(D$5, Dataset!$1:$1, 0))</f>
        <v>21.3</v>
      </c>
      <c r="E11" s="10">
        <f>INDEX(Dataset!$A$1:$X$40, MATCH($A11, Dataset!$A$1:$A$40, 0), MATCH(E$5, Dataset!$1:$1, 0))</f>
        <v>43</v>
      </c>
      <c r="F11" s="10">
        <f>INDEX(Dataset!$A$1:$X$40, MATCH($A11, Dataset!$A$1:$A$40, 0), MATCH(F$5, Dataset!$1:$1, 0))</f>
        <v>21.3</v>
      </c>
    </row>
    <row r="12" spans="1:16" ht="15" x14ac:dyDescent="0.25">
      <c r="A12" s="7" t="s">
        <v>14</v>
      </c>
      <c r="B12" s="10">
        <f>INDEX(Dataset!$A$1:$X$40, MATCH($A12, Dataset!$A$1:$A$40, 0), MATCH(B$5, Dataset!$1:$1, 0))</f>
        <v>18.399999999999999</v>
      </c>
      <c r="C12" s="10">
        <f>INDEX(Dataset!$A$1:$X$40, MATCH($A12, Dataset!$A$1:$A$40, 0), MATCH(C$5, Dataset!$1:$1, 0))</f>
        <v>55.6</v>
      </c>
      <c r="D12" s="10">
        <f>INDEX(Dataset!$A$1:$X$40, MATCH($A12, Dataset!$A$1:$A$40, 0), MATCH(D$5, Dataset!$1:$1, 0))</f>
        <v>33.799999999999997</v>
      </c>
      <c r="E12" s="10">
        <f>INDEX(Dataset!$A$1:$X$40, MATCH($A12, Dataset!$A$1:$A$40, 0), MATCH(E$5, Dataset!$1:$1, 0))</f>
        <v>67.900000000000006</v>
      </c>
      <c r="F12" s="10">
        <f>INDEX(Dataset!$A$1:$X$40, MATCH($A12, Dataset!$A$1:$A$40, 0), MATCH(F$5, Dataset!$1:$1, 0))</f>
        <v>33.799999999999997</v>
      </c>
    </row>
    <row r="13" spans="1:16" ht="15" x14ac:dyDescent="0.25">
      <c r="A13" s="7" t="s">
        <v>15</v>
      </c>
      <c r="B13" s="10">
        <f>INDEX(Dataset!$A$1:$X$40, MATCH($A13, Dataset!$A$1:$A$40, 0), MATCH(B$5, Dataset!$1:$1, 0))</f>
        <v>0</v>
      </c>
      <c r="C13" s="10">
        <f>INDEX(Dataset!$A$1:$X$40, MATCH($A13, Dataset!$A$1:$A$40, 0), MATCH(C$5, Dataset!$1:$1, 0))</f>
        <v>0</v>
      </c>
      <c r="D13" s="10">
        <f>INDEX(Dataset!$A$1:$X$40, MATCH($A13, Dataset!$A$1:$A$40, 0), MATCH(D$5, Dataset!$1:$1, 0))</f>
        <v>0</v>
      </c>
      <c r="E13" s="10">
        <f>INDEX(Dataset!$A$1:$X$40, MATCH($A13, Dataset!$A$1:$A$40, 0), MATCH(E$5, Dataset!$1:$1, 0))</f>
        <v>0</v>
      </c>
      <c r="F13" s="10">
        <f>INDEX(Dataset!$A$1:$X$40, MATCH($A13, Dataset!$A$1:$A$40, 0), MATCH(F$5, Dataset!$1:$1, 0))</f>
        <v>0</v>
      </c>
    </row>
    <row r="14" spans="1:16" ht="15" x14ac:dyDescent="0.25">
      <c r="A14" s="7" t="s">
        <v>16</v>
      </c>
      <c r="B14" s="10">
        <f>INDEX(Dataset!$A$1:$X$40, MATCH($A14, Dataset!$A$1:$A$40, 0), MATCH(B$5, Dataset!$1:$1, 0))</f>
        <v>21.9</v>
      </c>
      <c r="C14" s="10">
        <f>INDEX(Dataset!$A$1:$X$40, MATCH($A14, Dataset!$A$1:$A$40, 0), MATCH(C$5, Dataset!$1:$1, 0))</f>
        <v>61.5</v>
      </c>
      <c r="D14" s="10">
        <f>INDEX(Dataset!$A$1:$X$40, MATCH($A14, Dataset!$A$1:$A$40, 0), MATCH(D$5, Dataset!$1:$1, 0))</f>
        <v>40.1</v>
      </c>
      <c r="E14" s="10">
        <f>INDEX(Dataset!$A$1:$X$40, MATCH($A14, Dataset!$A$1:$A$40, 0), MATCH(E$5, Dataset!$1:$1, 0))</f>
        <v>76.599999999999994</v>
      </c>
      <c r="F14" s="10">
        <f>INDEX(Dataset!$A$1:$X$40, MATCH($A14, Dataset!$A$1:$A$40, 0), MATCH(F$5, Dataset!$1:$1, 0))</f>
        <v>40.1</v>
      </c>
    </row>
    <row r="15" spans="1:16" ht="15" x14ac:dyDescent="0.25">
      <c r="A15" s="7" t="s">
        <v>18</v>
      </c>
      <c r="B15" s="10">
        <f>INDEX(Dataset!$A$1:$X$40, MATCH($A15, Dataset!$A$1:$A$40, 0), MATCH(B$5, Dataset!$1:$1, 0))</f>
        <v>26.8</v>
      </c>
      <c r="C15" s="10">
        <f>INDEX(Dataset!$A$1:$X$40, MATCH($A15, Dataset!$A$1:$A$40, 0), MATCH(C$5, Dataset!$1:$1, 0))</f>
        <v>79.599999999999994</v>
      </c>
      <c r="D15" s="10">
        <f>INDEX(Dataset!$A$1:$X$40, MATCH($A15, Dataset!$A$1:$A$40, 0), MATCH(D$5, Dataset!$1:$1, 0))</f>
        <v>47.9</v>
      </c>
      <c r="E15" s="10">
        <f>INDEX(Dataset!$A$1:$X$40, MATCH($A15, Dataset!$A$1:$A$40, 0), MATCH(E$5, Dataset!$1:$1, 0))</f>
        <v>96.8</v>
      </c>
      <c r="F15" s="10">
        <f>INDEX(Dataset!$A$1:$X$40, MATCH($A15, Dataset!$A$1:$A$40, 0), MATCH(F$5, Dataset!$1:$1, 0))</f>
        <v>47.9</v>
      </c>
    </row>
    <row r="16" spans="1:16" ht="15" x14ac:dyDescent="0.25">
      <c r="A16" s="7" t="s">
        <v>20</v>
      </c>
      <c r="B16" s="10">
        <f>INDEX(Dataset!$A$1:$X$40, MATCH($A16, Dataset!$A$1:$A$40, 0), MATCH(B$5, Dataset!$1:$1, 0))</f>
        <v>28.5</v>
      </c>
      <c r="C16" s="10">
        <f>INDEX(Dataset!$A$1:$X$40, MATCH($A16, Dataset!$A$1:$A$40, 0), MATCH(C$5, Dataset!$1:$1, 0))</f>
        <v>85.4</v>
      </c>
      <c r="D16" s="10">
        <f>INDEX(Dataset!$A$1:$X$40, MATCH($A16, Dataset!$A$1:$A$40, 0), MATCH(D$5, Dataset!$1:$1, 0))</f>
        <v>52.3</v>
      </c>
      <c r="E16" s="10">
        <f>INDEX(Dataset!$A$1:$X$40, MATCH($A16, Dataset!$A$1:$A$40, 0), MATCH(E$5, Dataset!$1:$1, 0))</f>
        <v>106.1</v>
      </c>
      <c r="F16" s="10">
        <f>INDEX(Dataset!$A$1:$X$40, MATCH($A16, Dataset!$A$1:$A$40, 0), MATCH(F$5, Dataset!$1:$1, 0))</f>
        <v>52.3</v>
      </c>
    </row>
    <row r="17" spans="1:6" ht="15" x14ac:dyDescent="0.25">
      <c r="A17" s="7" t="s">
        <v>22</v>
      </c>
      <c r="B17" s="10">
        <f>INDEX(Dataset!$A$1:$X$40, MATCH($A17, Dataset!$A$1:$A$40, 0), MATCH(B$5, Dataset!$1:$1, 0))</f>
        <v>30.7</v>
      </c>
      <c r="C17" s="10">
        <f>INDEX(Dataset!$A$1:$X$40, MATCH($A17, Dataset!$A$1:$A$40, 0), MATCH(C$5, Dataset!$1:$1, 0))</f>
        <v>92.1</v>
      </c>
      <c r="D17" s="10">
        <f>INDEX(Dataset!$A$1:$X$40, MATCH($A17, Dataset!$A$1:$A$40, 0), MATCH(D$5, Dataset!$1:$1, 0))</f>
        <v>57</v>
      </c>
      <c r="E17" s="10">
        <f>INDEX(Dataset!$A$1:$X$40, MATCH($A17, Dataset!$A$1:$A$40, 0), MATCH(E$5, Dataset!$1:$1, 0))</f>
        <v>115.1</v>
      </c>
      <c r="F17" s="10">
        <f>INDEX(Dataset!$A$1:$X$40, MATCH($A17, Dataset!$A$1:$A$40, 0), MATCH(F$5, Dataset!$1:$1, 0))</f>
        <v>57</v>
      </c>
    </row>
    <row r="18" spans="1:6" ht="15" x14ac:dyDescent="0.25">
      <c r="A18" s="7" t="s">
        <v>23</v>
      </c>
      <c r="B18" s="10">
        <f>INDEX(Dataset!$A$1:$X$40, MATCH($A18, Dataset!$A$1:$A$40, 0), MATCH(B$5, Dataset!$1:$1, 0))</f>
        <v>33.799999999999997</v>
      </c>
      <c r="C18" s="10">
        <f>INDEX(Dataset!$A$1:$X$40, MATCH($A18, Dataset!$A$1:$A$40, 0), MATCH(C$5, Dataset!$1:$1, 0))</f>
        <v>101.3</v>
      </c>
      <c r="D18" s="10">
        <f>INDEX(Dataset!$A$1:$X$40, MATCH($A18, Dataset!$A$1:$A$40, 0), MATCH(D$5, Dataset!$1:$1, 0))</f>
        <v>61.4</v>
      </c>
      <c r="E18" s="10">
        <f>INDEX(Dataset!$A$1:$X$40, MATCH($A18, Dataset!$A$1:$A$40, 0), MATCH(E$5, Dataset!$1:$1, 0))</f>
        <v>124.4</v>
      </c>
      <c r="F18" s="10">
        <f>INDEX(Dataset!$A$1:$X$40, MATCH($A18, Dataset!$A$1:$A$40, 0), MATCH(F$5, Dataset!$1:$1, 0))</f>
        <v>61.4</v>
      </c>
    </row>
    <row r="19" spans="1:6" ht="15" x14ac:dyDescent="0.25">
      <c r="A19" s="7" t="s">
        <v>24</v>
      </c>
      <c r="B19" s="10">
        <f>INDEX(Dataset!$A$1:$X$40, MATCH($A19, Dataset!$A$1:$A$40, 0), MATCH(B$5, Dataset!$1:$1, 0))</f>
        <v>34.700000000000003</v>
      </c>
      <c r="C19" s="10">
        <f>INDEX(Dataset!$A$1:$X$40, MATCH($A19, Dataset!$A$1:$A$40, 0), MATCH(C$5, Dataset!$1:$1, 0))</f>
        <v>106.1</v>
      </c>
      <c r="D19" s="10">
        <f>INDEX(Dataset!$A$1:$X$40, MATCH($A19, Dataset!$A$1:$A$40, 0), MATCH(D$5, Dataset!$1:$1, 0))</f>
        <v>63.6</v>
      </c>
      <c r="E19" s="10">
        <f>INDEX(Dataset!$A$1:$X$40, MATCH($A19, Dataset!$A$1:$A$40, 0), MATCH(E$5, Dataset!$1:$1, 0))</f>
        <v>128.6</v>
      </c>
      <c r="F19" s="10">
        <f>INDEX(Dataset!$A$1:$X$40, MATCH($A19, Dataset!$A$1:$A$40, 0), MATCH(F$5, Dataset!$1:$1, 0))</f>
        <v>63.6</v>
      </c>
    </row>
    <row r="20" spans="1:6" ht="15" x14ac:dyDescent="0.25">
      <c r="A20" s="7" t="s">
        <v>28</v>
      </c>
      <c r="B20" s="10">
        <f>INDEX(Dataset!$A$1:$X$40, MATCH($A20, Dataset!$A$1:$A$40, 0), MATCH(B$5, Dataset!$1:$1, 0))</f>
        <v>0</v>
      </c>
      <c r="C20" s="10">
        <f>INDEX(Dataset!$A$1:$X$40, MATCH($A20, Dataset!$A$1:$A$40, 0), MATCH(C$5, Dataset!$1:$1, 0))</f>
        <v>0</v>
      </c>
      <c r="D20" s="10">
        <f>INDEX(Dataset!$A$1:$X$40, MATCH($A20, Dataset!$A$1:$A$40, 0), MATCH(D$5, Dataset!$1:$1, 0))</f>
        <v>0</v>
      </c>
      <c r="E20" s="10">
        <f>INDEX(Dataset!$A$1:$X$40, MATCH($A20, Dataset!$A$1:$A$40, 0), MATCH(E$5, Dataset!$1:$1, 0))</f>
        <v>0</v>
      </c>
      <c r="F20" s="10">
        <f>INDEX(Dataset!$A$1:$X$40, MATCH($A20, Dataset!$A$1:$A$40, 0), MATCH(F$5, Dataset!$1:$1, 0))</f>
        <v>0</v>
      </c>
    </row>
    <row r="21" spans="1:6" ht="15" x14ac:dyDescent="0.25">
      <c r="A21" s="7" t="s">
        <v>57</v>
      </c>
      <c r="B21" s="10">
        <f>INDEX(Dataset!$A$1:$X$40, MATCH($A21, Dataset!$A$1:$A$40, 0), MATCH(B$5, Dataset!$1:$1, 0))</f>
        <v>41.3</v>
      </c>
      <c r="C21" s="10">
        <f>INDEX(Dataset!$A$1:$X$40, MATCH($A21, Dataset!$A$1:$A$40, 0), MATCH(C$5, Dataset!$1:$1, 0))</f>
        <v>124.4</v>
      </c>
      <c r="D21" s="10">
        <f>INDEX(Dataset!$A$1:$X$40, MATCH($A21, Dataset!$A$1:$A$40, 0), MATCH(D$5, Dataset!$1:$1, 0))</f>
        <v>75</v>
      </c>
      <c r="E21" s="10">
        <f>INDEX(Dataset!$A$1:$X$40, MATCH($A21, Dataset!$A$1:$A$40, 0), MATCH(E$5, Dataset!$1:$1, 0))</f>
        <v>151.5</v>
      </c>
      <c r="F21" s="10">
        <f>INDEX(Dataset!$A$1:$X$40, MATCH($A21, Dataset!$A$1:$A$40, 0), MATCH(F$5, Dataset!$1:$1, 0))</f>
        <v>75</v>
      </c>
    </row>
    <row r="22" spans="1:6" ht="15" x14ac:dyDescent="0.25">
      <c r="A22" s="7" t="s">
        <v>58</v>
      </c>
      <c r="B22" s="10">
        <f>INDEX(Dataset!$A$1:$X$40, MATCH($A22, Dataset!$A$1:$A$40, 0), MATCH(B$5, Dataset!$1:$1, 0))</f>
        <v>-1</v>
      </c>
      <c r="C22" s="10">
        <f>INDEX(Dataset!$A$1:$X$40, MATCH($A22, Dataset!$A$1:$A$40, 0), MATCH(C$5, Dataset!$1:$1, 0))</f>
        <v>-1</v>
      </c>
      <c r="D22" s="10">
        <f>INDEX(Dataset!$A$1:$X$40, MATCH($A22, Dataset!$A$1:$A$40, 0), MATCH(D$5, Dataset!$1:$1, 0))</f>
        <v>-1</v>
      </c>
      <c r="E22" s="10">
        <f>INDEX(Dataset!$A$1:$X$40, MATCH($A22, Dataset!$A$1:$A$40, 0), MATCH(E$5, Dataset!$1:$1, 0))</f>
        <v>-1</v>
      </c>
      <c r="F22" s="10">
        <f>INDEX(Dataset!$A$1:$X$40, MATCH($A22, Dataset!$A$1:$A$40, 0), MATCH(F$5, Dataset!$1:$1, 0))</f>
        <v>-1</v>
      </c>
    </row>
    <row r="23" spans="1:6" ht="15" x14ac:dyDescent="0.25">
      <c r="A23" s="7" t="s">
        <v>31</v>
      </c>
      <c r="B23" s="10">
        <f>INDEX(Dataset!$A$1:$X$40, MATCH($A23, Dataset!$A$1:$A$40, 0), MATCH(B$5, Dataset!$1:$1, 0))</f>
        <v>45</v>
      </c>
      <c r="C23" s="10">
        <f>INDEX(Dataset!$A$1:$X$40, MATCH($A23, Dataset!$A$1:$A$40, 0), MATCH(C$5, Dataset!$1:$1, 0))</f>
        <v>133.4</v>
      </c>
      <c r="D23" s="10">
        <f>INDEX(Dataset!$A$1:$X$40, MATCH($A23, Dataset!$A$1:$A$40, 0), MATCH(D$5, Dataset!$1:$1, 0))</f>
        <v>79.400000000000006</v>
      </c>
      <c r="E23" s="10">
        <f>INDEX(Dataset!$A$1:$X$40, MATCH($A23, Dataset!$A$1:$A$40, 0), MATCH(E$5, Dataset!$1:$1, 0))</f>
        <v>160.9</v>
      </c>
      <c r="F23" s="10">
        <f>INDEX(Dataset!$A$1:$X$40, MATCH($A23, Dataset!$A$1:$A$40, 0), MATCH(F$5, Dataset!$1:$1, 0))</f>
        <v>79.400000000000006</v>
      </c>
    </row>
    <row r="24" spans="1:6" ht="15" x14ac:dyDescent="0.25">
      <c r="A24" s="7" t="s">
        <v>32</v>
      </c>
      <c r="B24" s="10">
        <f>INDEX(Dataset!$A$1:$X$40, MATCH($A24, Dataset!$A$1:$A$40, 0), MATCH(B$5, Dataset!$1:$1, 0))</f>
        <v>-1</v>
      </c>
      <c r="C24" s="10">
        <f>INDEX(Dataset!$A$1:$X$40, MATCH($A24, Dataset!$A$1:$A$40, 0), MATCH(C$5, Dataset!$1:$1, 0))</f>
        <v>-1</v>
      </c>
      <c r="D24" s="10">
        <f>INDEX(Dataset!$A$1:$X$40, MATCH($A24, Dataset!$A$1:$A$40, 0), MATCH(D$5, Dataset!$1:$1, 0))</f>
        <v>-1</v>
      </c>
      <c r="E24" s="10">
        <f>INDEX(Dataset!$A$1:$X$40, MATCH($A24, Dataset!$A$1:$A$40, 0), MATCH(E$5, Dataset!$1:$1, 0))</f>
        <v>-1</v>
      </c>
      <c r="F24" s="10">
        <f>INDEX(Dataset!$A$1:$X$40, MATCH($A24, Dataset!$A$1:$A$40, 0), MATCH(F$5, Dataset!$1:$1, 0))</f>
        <v>-1</v>
      </c>
    </row>
    <row r="25" spans="1:6" ht="15" x14ac:dyDescent="0.25">
      <c r="A25" s="7" t="s">
        <v>34</v>
      </c>
      <c r="B25" s="10">
        <f>INDEX(Dataset!$A$1:$X$40, MATCH($A25, Dataset!$A$1:$A$40, 0), MATCH(B$5, Dataset!$1:$1, 0))</f>
        <v>43.3</v>
      </c>
      <c r="C25" s="10">
        <f>INDEX(Dataset!$A$1:$X$40, MATCH($A25, Dataset!$A$1:$A$40, 0), MATCH(C$5, Dataset!$1:$1, 0))</f>
        <v>128.6</v>
      </c>
      <c r="D25" s="10">
        <f>INDEX(Dataset!$A$1:$X$40, MATCH($A25, Dataset!$A$1:$A$40, 0), MATCH(D$5, Dataset!$1:$1, 0))</f>
        <v>79.400000000000006</v>
      </c>
      <c r="E25" s="10">
        <f>INDEX(Dataset!$A$1:$X$40, MATCH($A25, Dataset!$A$1:$A$40, 0), MATCH(E$5, Dataset!$1:$1, 0))</f>
        <v>160.9</v>
      </c>
      <c r="F25" s="10">
        <f>INDEX(Dataset!$A$1:$X$40, MATCH($A25, Dataset!$A$1:$A$40, 0), MATCH(F$5, Dataset!$1:$1, 0))</f>
        <v>79.400000000000006</v>
      </c>
    </row>
    <row r="26" spans="1:6" ht="15" x14ac:dyDescent="0.25">
      <c r="A26" s="7" t="s">
        <v>37</v>
      </c>
      <c r="B26" s="10">
        <f>INDEX(Dataset!$A$1:$X$40, MATCH($A26, Dataset!$A$1:$A$40, 0), MATCH(B$5, Dataset!$1:$1, 0))</f>
        <v>49.1</v>
      </c>
      <c r="C26" s="10">
        <f>INDEX(Dataset!$A$1:$X$40, MATCH($A26, Dataset!$A$1:$A$40, 0), MATCH(C$5, Dataset!$1:$1, 0))</f>
        <v>146.80000000000001</v>
      </c>
      <c r="D26" s="10">
        <f>INDEX(Dataset!$A$1:$X$40, MATCH($A26, Dataset!$A$1:$A$40, 0), MATCH(D$5, Dataset!$1:$1, 0))</f>
        <v>90.9</v>
      </c>
      <c r="E26" s="10">
        <f>INDEX(Dataset!$A$1:$X$40, MATCH($A26, Dataset!$A$1:$A$40, 0), MATCH(E$5, Dataset!$1:$1, 0))</f>
        <v>183.5</v>
      </c>
      <c r="F26" s="10">
        <f>INDEX(Dataset!$A$1:$X$40, MATCH($A26, Dataset!$A$1:$A$40, 0), MATCH(F$5, Dataset!$1:$1, 0))</f>
        <v>90.9</v>
      </c>
    </row>
    <row r="27" spans="1:6" ht="15" x14ac:dyDescent="0.25">
      <c r="A27" s="7" t="s">
        <v>39</v>
      </c>
      <c r="B27" s="10">
        <f>INDEX(Dataset!$A$1:$X$40, MATCH($A27, Dataset!$A$1:$A$40, 0), MATCH(B$5, Dataset!$1:$1, 0))</f>
        <v>51.8</v>
      </c>
      <c r="C27" s="10">
        <f>INDEX(Dataset!$A$1:$X$40, MATCH($A27, Dataset!$A$1:$A$40, 0), MATCH(C$5, Dataset!$1:$1, 0))</f>
        <v>156.4</v>
      </c>
      <c r="D27" s="10">
        <f>INDEX(Dataset!$A$1:$X$40, MATCH($A27, Dataset!$A$1:$A$40, 0), MATCH(D$5, Dataset!$1:$1, 0))</f>
        <v>93.1</v>
      </c>
      <c r="E27" s="10">
        <f>INDEX(Dataset!$A$1:$X$40, MATCH($A27, Dataset!$A$1:$A$40, 0), MATCH(E$5, Dataset!$1:$1, 0))</f>
        <v>188.1</v>
      </c>
      <c r="F27" s="10">
        <f>INDEX(Dataset!$A$1:$X$40, MATCH($A27, Dataset!$A$1:$A$40, 0), MATCH(F$5, Dataset!$1:$1, 0))</f>
        <v>93.1</v>
      </c>
    </row>
    <row r="28" spans="1:6" ht="15" x14ac:dyDescent="0.25">
      <c r="A28" s="16" t="s">
        <v>82</v>
      </c>
      <c r="B28" s="14">
        <f>MIN(B6:B27)</f>
        <v>-1</v>
      </c>
      <c r="C28" s="14">
        <f>MIN(C6:C27)</f>
        <v>-1</v>
      </c>
      <c r="D28" s="14">
        <f>MIN(D6:D27)</f>
        <v>-1</v>
      </c>
      <c r="E28" s="14">
        <f>MIN(E6:E27)</f>
        <v>-1</v>
      </c>
      <c r="F28" s="14">
        <f>MIN(F6:F27)</f>
        <v>-1</v>
      </c>
    </row>
    <row r="29" spans="1:6" ht="15" x14ac:dyDescent="0.25">
      <c r="A29" s="16" t="s">
        <v>83</v>
      </c>
      <c r="B29" s="14">
        <f>MAX(B6:B27)</f>
        <v>51.8</v>
      </c>
      <c r="C29" s="14">
        <f t="shared" ref="C29:F29" si="0">MAX(C6:C27)</f>
        <v>156.4</v>
      </c>
      <c r="D29" s="14">
        <f t="shared" si="0"/>
        <v>93.1</v>
      </c>
      <c r="E29" s="14">
        <f t="shared" si="0"/>
        <v>188.1</v>
      </c>
      <c r="F29" s="14">
        <f t="shared" si="0"/>
        <v>93.1</v>
      </c>
    </row>
    <row r="30" spans="1:6" ht="15" x14ac:dyDescent="0.25">
      <c r="A30" s="16" t="s">
        <v>84</v>
      </c>
      <c r="B30" s="14">
        <f>AVERAGE(B6:B27)</f>
        <v>20.827272727272728</v>
      </c>
      <c r="C30" s="14">
        <f t="shared" ref="C30:F30" si="1">AVERAGE(C6:C27)</f>
        <v>62.377272727272725</v>
      </c>
      <c r="D30" s="14">
        <f t="shared" si="1"/>
        <v>37.800000000000004</v>
      </c>
      <c r="E30" s="14">
        <f t="shared" si="1"/>
        <v>76.418181818181822</v>
      </c>
      <c r="F30" s="14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2" zoomScaleNormal="100" workbookViewId="0">
      <selection activeCell="G19" sqref="G1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6" customFormat="1" ht="21" x14ac:dyDescent="0.35">
      <c r="A1" s="37" t="s">
        <v>56</v>
      </c>
      <c r="B1" s="36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8" t="s">
        <v>53</v>
      </c>
      <c r="B5" s="35"/>
      <c r="G5" s="1" t="s">
        <v>186</v>
      </c>
    </row>
    <row r="6" spans="1:10" ht="18.75" x14ac:dyDescent="0.3">
      <c r="A6" s="38" t="s">
        <v>153</v>
      </c>
      <c r="B6" s="35"/>
      <c r="G6" s="1" t="s">
        <v>181</v>
      </c>
    </row>
    <row r="7" spans="1:10" ht="18.75" x14ac:dyDescent="0.3">
      <c r="A7" s="38"/>
      <c r="B7" s="35"/>
      <c r="G7" s="1" t="s">
        <v>182</v>
      </c>
    </row>
    <row r="8" spans="1:10" x14ac:dyDescent="0.25">
      <c r="G8" s="1" t="s">
        <v>183</v>
      </c>
    </row>
    <row r="9" spans="1:10" ht="23.25" x14ac:dyDescent="0.35">
      <c r="A9" s="15" t="s">
        <v>165</v>
      </c>
      <c r="G9" s="1" t="s">
        <v>184</v>
      </c>
      <c r="I9" s="2"/>
      <c r="J9" s="2"/>
    </row>
    <row r="10" spans="1:10" x14ac:dyDescent="0.25">
      <c r="A10" s="29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G11" s="1" t="s">
        <v>185</v>
      </c>
      <c r="I11" s="2"/>
      <c r="J11" s="2"/>
    </row>
    <row r="13" spans="1:10" x14ac:dyDescent="0.25">
      <c r="G13" s="1" t="s">
        <v>187</v>
      </c>
    </row>
    <row r="14" spans="1:10" ht="23.25" x14ac:dyDescent="0.35">
      <c r="A14" s="15" t="s">
        <v>162</v>
      </c>
      <c r="G14" s="1" t="s">
        <v>188</v>
      </c>
    </row>
    <row r="15" spans="1:10" x14ac:dyDescent="0.25">
      <c r="A15" s="12" t="s">
        <v>103</v>
      </c>
      <c r="B15" s="14" t="s">
        <v>49</v>
      </c>
      <c r="C15" s="13" t="s">
        <v>50</v>
      </c>
      <c r="D15" s="14" t="s">
        <v>51</v>
      </c>
      <c r="E15" s="13" t="s">
        <v>52</v>
      </c>
      <c r="F15" s="14" t="s">
        <v>54</v>
      </c>
      <c r="G15" s="1" t="s">
        <v>189</v>
      </c>
    </row>
    <row r="16" spans="1:10" x14ac:dyDescent="0.25">
      <c r="A16" s="7" t="s">
        <v>121</v>
      </c>
      <c r="B16" s="10" t="str">
        <f>LEFT(A16, FIND("-", A16) - 1)</f>
        <v>20000</v>
      </c>
      <c r="C16" s="1" t="str">
        <f>MID(A16, FIND("-", A16) + 1, FIND("-", A16, FIND("-", A16) + 1) - FIND("-", A16) - 1)</f>
        <v>Monday</v>
      </c>
      <c r="D16" s="10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43" t="str">
        <f>MID(A16, FIND("-", A16, FIND("-", A16, FIND("-", A16, FIND("-", A16) + 1) + 1) + 1) + 1, LEN(A16))</f>
        <v>24</v>
      </c>
    </row>
    <row r="17" spans="1:7" x14ac:dyDescent="0.25">
      <c r="A17" s="7" t="s">
        <v>122</v>
      </c>
      <c r="B17" s="10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0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0" t="str">
        <f t="shared" ref="F17:F54" si="4">MID(A17, FIND("-", A17, FIND("-", A17, FIND("-", A17, FIND("-", A17) + 1) + 1) + 1) + 1, LEN(A17))</f>
        <v>24</v>
      </c>
      <c r="G17" s="1" t="s">
        <v>190</v>
      </c>
    </row>
    <row r="18" spans="1:7" x14ac:dyDescent="0.25">
      <c r="A18" s="7" t="s">
        <v>123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  <c r="G18" s="1" t="s">
        <v>191</v>
      </c>
    </row>
    <row r="19" spans="1:7" x14ac:dyDescent="0.25">
      <c r="A19" s="7" t="s">
        <v>124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  <c r="G19" s="1" t="s">
        <v>192</v>
      </c>
    </row>
    <row r="20" spans="1:7" x14ac:dyDescent="0.25">
      <c r="A20" s="7" t="s">
        <v>125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7" x14ac:dyDescent="0.25">
      <c r="A21" s="7" t="s">
        <v>126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7" x14ac:dyDescent="0.25">
      <c r="A22" s="7" t="s">
        <v>127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7" x14ac:dyDescent="0.25">
      <c r="A23" s="7" t="s">
        <v>128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7" x14ac:dyDescent="0.25">
      <c r="A24" s="7" t="s">
        <v>129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7" x14ac:dyDescent="0.25">
      <c r="A25" s="7" t="s">
        <v>130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7" x14ac:dyDescent="0.25">
      <c r="A26" s="7" t="s">
        <v>131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7" x14ac:dyDescent="0.25">
      <c r="A27" s="7" t="s">
        <v>132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7" x14ac:dyDescent="0.25">
      <c r="A28" s="7" t="s">
        <v>133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7" x14ac:dyDescent="0.25">
      <c r="A29" s="7" t="s">
        <v>134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7" x14ac:dyDescent="0.25">
      <c r="A30" s="7" t="s">
        <v>135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7" x14ac:dyDescent="0.25">
      <c r="A31" s="7" t="s">
        <v>136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7" x14ac:dyDescent="0.25">
      <c r="A32" s="7" t="s">
        <v>137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25">
      <c r="A33" s="7" t="s">
        <v>138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25">
      <c r="A34" s="7" t="s">
        <v>139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25">
      <c r="A35" s="7" t="s">
        <v>140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25">
      <c r="A36" s="7" t="s">
        <v>141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25">
      <c r="A37" s="7" t="s">
        <v>142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25">
      <c r="A38" s="7" t="s">
        <v>143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25">
      <c r="A39" s="7" t="s">
        <v>144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25">
      <c r="A40" s="7" t="s">
        <v>145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25">
      <c r="A41" s="7" t="s">
        <v>146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25">
      <c r="A42" s="7" t="s">
        <v>147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25">
      <c r="A43" s="7" t="s">
        <v>148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25">
      <c r="A44" s="7" t="s">
        <v>149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25">
      <c r="A45" s="7" t="s">
        <v>150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25">
      <c r="A46" s="7" t="s">
        <v>112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25">
      <c r="A47" s="7" t="s">
        <v>113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25">
      <c r="A48" s="7" t="s">
        <v>114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25">
      <c r="A49" s="7" t="s">
        <v>115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25">
      <c r="A50" s="7" t="s">
        <v>116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25">
      <c r="A51" s="7" t="s">
        <v>117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25">
      <c r="A52" s="7" t="s">
        <v>118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25">
      <c r="A53" s="7" t="s">
        <v>119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25">
      <c r="A54" s="8" t="s">
        <v>120</v>
      </c>
      <c r="B54" s="11" t="str">
        <f t="shared" si="0"/>
        <v>21016</v>
      </c>
      <c r="C54" s="11" t="str">
        <f t="shared" si="1"/>
        <v>Monday</v>
      </c>
      <c r="D54" s="11" t="str">
        <f t="shared" si="2"/>
        <v>0</v>
      </c>
      <c r="E54" s="1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topLeftCell="A16" zoomScaleNormal="100" workbookViewId="0">
      <selection activeCell="B27" sqref="B27"/>
    </sheetView>
  </sheetViews>
  <sheetFormatPr defaultColWidth="11" defaultRowHeight="12.75" x14ac:dyDescent="0.2"/>
  <cols>
    <col min="1" max="1" width="28.1640625" style="2" bestFit="1" customWidth="1"/>
    <col min="2" max="2" width="161.6640625" style="2" bestFit="1" customWidth="1"/>
    <col min="3" max="3" width="6.5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37" t="s">
        <v>85</v>
      </c>
      <c r="B1" s="36" t="s">
        <v>167</v>
      </c>
    </row>
    <row r="2" spans="1:3" ht="18.75" x14ac:dyDescent="0.3">
      <c r="B2" s="35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5" t="s">
        <v>162</v>
      </c>
    </row>
    <row r="11" spans="1:3" ht="15" x14ac:dyDescent="0.25">
      <c r="A11" s="28" t="s">
        <v>86</v>
      </c>
      <c r="B11" s="14" t="s">
        <v>87</v>
      </c>
      <c r="C11" s="14" t="s">
        <v>88</v>
      </c>
    </row>
    <row r="12" spans="1:3" ht="15" x14ac:dyDescent="0.25">
      <c r="A12" s="28">
        <v>44927</v>
      </c>
      <c r="B12" s="14" t="s">
        <v>59</v>
      </c>
      <c r="C12" s="14">
        <v>200</v>
      </c>
    </row>
    <row r="13" spans="1:3" ht="15" x14ac:dyDescent="0.25">
      <c r="A13" s="28">
        <v>44928</v>
      </c>
      <c r="B13" s="14" t="s">
        <v>60</v>
      </c>
      <c r="C13" s="14" t="e">
        <v>#N/A</v>
      </c>
    </row>
    <row r="14" spans="1:3" ht="15" x14ac:dyDescent="0.25">
      <c r="A14" s="28">
        <v>44929</v>
      </c>
      <c r="B14" s="14" t="s">
        <v>61</v>
      </c>
      <c r="C14" s="14">
        <v>50</v>
      </c>
    </row>
    <row r="15" spans="1:3" ht="15" x14ac:dyDescent="0.25">
      <c r="A15" s="28">
        <v>44930</v>
      </c>
      <c r="B15" s="14" t="s">
        <v>62</v>
      </c>
      <c r="C15" s="14" t="e">
        <v>#N/A</v>
      </c>
    </row>
    <row r="16" spans="1:3" ht="15" x14ac:dyDescent="0.25">
      <c r="A16" s="28">
        <v>44931</v>
      </c>
      <c r="B16" s="14" t="s">
        <v>63</v>
      </c>
      <c r="C16" s="14">
        <v>10</v>
      </c>
    </row>
    <row r="17" spans="1:3" ht="15" x14ac:dyDescent="0.25">
      <c r="A17" s="28">
        <v>44932</v>
      </c>
      <c r="B17" s="14" t="s">
        <v>154</v>
      </c>
      <c r="C17" s="14">
        <v>150</v>
      </c>
    </row>
    <row r="18" spans="1:3" ht="15" x14ac:dyDescent="0.25">
      <c r="A18" s="28">
        <v>44933</v>
      </c>
      <c r="B18" s="14" t="s">
        <v>155</v>
      </c>
      <c r="C18" s="14">
        <v>80</v>
      </c>
    </row>
    <row r="19" spans="1:3" ht="15" x14ac:dyDescent="0.25">
      <c r="A19" s="28">
        <v>44934</v>
      </c>
      <c r="B19" s="14" t="s">
        <v>156</v>
      </c>
      <c r="C19" s="14" t="e">
        <v>#N/A</v>
      </c>
    </row>
    <row r="20" spans="1:3" ht="15" x14ac:dyDescent="0.25">
      <c r="A20" s="28">
        <v>44935</v>
      </c>
      <c r="B20" s="14" t="s">
        <v>157</v>
      </c>
      <c r="C20" s="14">
        <v>30</v>
      </c>
    </row>
    <row r="21" spans="1:3" ht="15" x14ac:dyDescent="0.25">
      <c r="A21" s="28">
        <v>44936</v>
      </c>
      <c r="B21" s="14" t="s">
        <v>158</v>
      </c>
      <c r="C21" s="14" t="e">
        <v>#N/A</v>
      </c>
    </row>
    <row r="22" spans="1:3" ht="15" x14ac:dyDescent="0.25">
      <c r="A22" s="44"/>
      <c r="B22" s="14" t="s">
        <v>159</v>
      </c>
      <c r="C22" s="22">
        <f t="array" ref="C22">SUM(IF(ISNUMBER(C12:C21), C12:C21, IFERROR(VALUE(C12:C21), 20)))</f>
        <v>600</v>
      </c>
    </row>
    <row r="25" spans="1:3" ht="15" x14ac:dyDescent="0.25">
      <c r="B25" s="1" t="s">
        <v>151</v>
      </c>
    </row>
    <row r="26" spans="1:3" ht="15" x14ac:dyDescent="0.25">
      <c r="A26" s="3" t="s">
        <v>53</v>
      </c>
      <c r="B26" s="45" t="s">
        <v>193</v>
      </c>
    </row>
    <row r="27" spans="1:3" ht="120" x14ac:dyDescent="0.25">
      <c r="A27" s="3" t="s">
        <v>153</v>
      </c>
      <c r="B27" s="45" t="s">
        <v>194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6" sqref="C6"/>
    </sheetView>
  </sheetViews>
  <sheetFormatPr defaultColWidth="11" defaultRowHeight="12.75" x14ac:dyDescent="0.2"/>
  <cols>
    <col min="1" max="1" width="28.1640625" style="2" bestFit="1" customWidth="1"/>
    <col min="2" max="2" width="11" style="2"/>
    <col min="3" max="3" width="12" style="2" customWidth="1"/>
    <col min="4" max="4" width="11" style="2"/>
    <col min="5" max="5" width="14.6640625" style="2" bestFit="1" customWidth="1"/>
    <col min="6" max="6" width="14.5" style="2" bestFit="1" customWidth="1"/>
    <col min="7" max="16384" width="11" style="2"/>
  </cols>
  <sheetData>
    <row r="1" spans="1:14" ht="21" x14ac:dyDescent="0.35">
      <c r="A1" s="37" t="s">
        <v>98</v>
      </c>
      <c r="B1" s="36" t="s">
        <v>175</v>
      </c>
    </row>
    <row r="3" spans="1:14" ht="15" x14ac:dyDescent="0.25">
      <c r="B3" s="1" t="s">
        <v>151</v>
      </c>
    </row>
    <row r="4" spans="1:14" ht="18.75" x14ac:dyDescent="0.3">
      <c r="A4" s="38" t="s">
        <v>53</v>
      </c>
      <c r="B4" s="1"/>
      <c r="C4" s="2" t="s">
        <v>197</v>
      </c>
    </row>
    <row r="5" spans="1:14" ht="18.75" x14ac:dyDescent="0.3">
      <c r="A5" s="38" t="s">
        <v>153</v>
      </c>
      <c r="B5" s="1"/>
      <c r="C5" s="47" t="s">
        <v>198</v>
      </c>
    </row>
    <row r="6" spans="1:14" ht="15" x14ac:dyDescent="0.25">
      <c r="A6" s="3"/>
      <c r="B6" s="1"/>
    </row>
    <row r="8" spans="1:14" ht="23.25" x14ac:dyDescent="0.35">
      <c r="A8" s="15" t="s">
        <v>162</v>
      </c>
      <c r="M8" s="15" t="s">
        <v>163</v>
      </c>
    </row>
    <row r="9" spans="1:14" ht="15" x14ac:dyDescent="0.25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5" x14ac:dyDescent="0.25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0">
        <v>10100</v>
      </c>
      <c r="N10" s="10" t="s">
        <v>89</v>
      </c>
    </row>
    <row r="11" spans="1:14" ht="15" x14ac:dyDescent="0.25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0">
        <v>10102</v>
      </c>
      <c r="N11" s="10" t="s">
        <v>90</v>
      </c>
    </row>
    <row r="12" spans="1:14" ht="15" x14ac:dyDescent="0.25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0">
        <v>10104</v>
      </c>
      <c r="N12" s="10" t="s">
        <v>91</v>
      </c>
    </row>
    <row r="13" spans="1:14" ht="15" x14ac:dyDescent="0.25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0">
        <v>10106</v>
      </c>
      <c r="N13" s="10" t="s">
        <v>92</v>
      </c>
    </row>
    <row r="14" spans="1:14" ht="15" x14ac:dyDescent="0.25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0">
        <v>10108</v>
      </c>
      <c r="N14" s="10" t="s">
        <v>93</v>
      </c>
    </row>
    <row r="15" spans="1:14" ht="15" x14ac:dyDescent="0.25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0">
        <v>10110</v>
      </c>
      <c r="N15" s="10" t="s">
        <v>94</v>
      </c>
    </row>
    <row r="16" spans="1:14" ht="15" x14ac:dyDescent="0.25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0">
        <v>10112</v>
      </c>
      <c r="N16" s="10" t="s">
        <v>95</v>
      </c>
    </row>
    <row r="17" spans="1:14" ht="15" x14ac:dyDescent="0.25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0">
        <v>10114</v>
      </c>
      <c r="N17" s="10" t="s">
        <v>96</v>
      </c>
    </row>
    <row r="18" spans="1:14" ht="15" x14ac:dyDescent="0.25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1">
        <v>10116</v>
      </c>
      <c r="N18" s="11" t="s">
        <v>97</v>
      </c>
    </row>
    <row r="21" spans="1:14" ht="23.25" x14ac:dyDescent="0.35">
      <c r="A21" s="15" t="s">
        <v>168</v>
      </c>
    </row>
    <row r="22" spans="1:14" ht="15" x14ac:dyDescent="0.25">
      <c r="A22" s="14" t="s">
        <v>100</v>
      </c>
      <c r="B22" s="14" t="s">
        <v>101</v>
      </c>
      <c r="C22" s="14" t="s">
        <v>102</v>
      </c>
      <c r="E22" s="22" t="s">
        <v>195</v>
      </c>
      <c r="F22" s="22" t="s">
        <v>196</v>
      </c>
    </row>
    <row r="23" spans="1:14" ht="15" x14ac:dyDescent="0.25">
      <c r="A23" s="14">
        <v>10100</v>
      </c>
      <c r="B23" s="14">
        <v>10102</v>
      </c>
      <c r="C23" s="46">
        <v>95</v>
      </c>
      <c r="E23" s="22" t="str">
        <f>VLOOKUP(A23,M:N,2,0)</f>
        <v>A</v>
      </c>
      <c r="F23" s="22" t="str">
        <f>VLOOKUP(B23,M:N,2,0)</f>
        <v>B</v>
      </c>
    </row>
    <row r="24" spans="1:14" ht="15" x14ac:dyDescent="0.25">
      <c r="A24" s="14">
        <v>10100</v>
      </c>
      <c r="B24" s="14">
        <v>10104</v>
      </c>
      <c r="C24" s="22">
        <v>-1</v>
      </c>
      <c r="E24" s="22" t="str">
        <f t="shared" ref="E24:E40" si="0">VLOOKUP(A24,M:N,2,0)</f>
        <v>A</v>
      </c>
      <c r="F24" s="22" t="str">
        <f t="shared" ref="F24:F35" si="1">VLOOKUP(B24,M:N,2,0)</f>
        <v>C</v>
      </c>
    </row>
    <row r="25" spans="1:14" ht="15" x14ac:dyDescent="0.25">
      <c r="A25" s="14">
        <v>10108</v>
      </c>
      <c r="B25" s="14">
        <v>10102</v>
      </c>
      <c r="C25" s="22">
        <v>160</v>
      </c>
      <c r="E25" s="22" t="str">
        <f t="shared" si="0"/>
        <v>E</v>
      </c>
      <c r="F25" s="22" t="str">
        <f t="shared" si="1"/>
        <v>B</v>
      </c>
    </row>
    <row r="26" spans="1:14" ht="15" x14ac:dyDescent="0.25">
      <c r="A26" s="14">
        <v>10100</v>
      </c>
      <c r="B26" s="14">
        <v>10106</v>
      </c>
      <c r="C26" s="22">
        <v>185</v>
      </c>
      <c r="E26" s="22" t="str">
        <f t="shared" si="0"/>
        <v>A</v>
      </c>
      <c r="F26" s="22" t="str">
        <f t="shared" si="1"/>
        <v>D</v>
      </c>
    </row>
    <row r="27" spans="1:14" ht="15" x14ac:dyDescent="0.25">
      <c r="A27" s="14">
        <v>10108</v>
      </c>
      <c r="B27" s="14">
        <v>10110</v>
      </c>
      <c r="C27" s="22">
        <v>50</v>
      </c>
      <c r="E27" s="22" t="str">
        <f t="shared" si="0"/>
        <v>E</v>
      </c>
      <c r="F27" s="22" t="str">
        <f t="shared" si="1"/>
        <v>F</v>
      </c>
    </row>
    <row r="28" spans="1:14" ht="15" x14ac:dyDescent="0.25">
      <c r="A28" s="14">
        <v>10102</v>
      </c>
      <c r="B28" s="14">
        <v>10104</v>
      </c>
      <c r="C28" s="22">
        <v>-1</v>
      </c>
      <c r="E28" s="22" t="str">
        <f t="shared" si="0"/>
        <v>B</v>
      </c>
      <c r="F28" s="22" t="str">
        <f t="shared" si="1"/>
        <v>C</v>
      </c>
    </row>
    <row r="29" spans="1:14" ht="15" x14ac:dyDescent="0.25">
      <c r="A29" s="14">
        <v>10106</v>
      </c>
      <c r="B29" s="14">
        <v>10108</v>
      </c>
      <c r="C29" s="22">
        <v>-1</v>
      </c>
      <c r="E29" s="22" t="str">
        <f t="shared" si="0"/>
        <v>D</v>
      </c>
      <c r="F29" s="22" t="str">
        <f t="shared" si="1"/>
        <v>E</v>
      </c>
    </row>
    <row r="30" spans="1:14" ht="15" x14ac:dyDescent="0.25">
      <c r="A30" s="14">
        <v>10102</v>
      </c>
      <c r="B30" s="14">
        <v>10106</v>
      </c>
      <c r="C30" s="22">
        <v>-1</v>
      </c>
      <c r="E30" s="22" t="str">
        <f t="shared" si="0"/>
        <v>B</v>
      </c>
      <c r="F30" s="22" t="str">
        <f t="shared" si="1"/>
        <v>D</v>
      </c>
    </row>
    <row r="31" spans="1:14" ht="15" x14ac:dyDescent="0.25">
      <c r="A31" s="14">
        <v>10110</v>
      </c>
      <c r="B31" s="14">
        <v>10114</v>
      </c>
      <c r="C31" s="22">
        <v>180</v>
      </c>
      <c r="E31" s="22" t="str">
        <f t="shared" si="0"/>
        <v>F</v>
      </c>
      <c r="F31" s="22" t="str">
        <f t="shared" si="1"/>
        <v>H</v>
      </c>
    </row>
    <row r="32" spans="1:14" ht="15" x14ac:dyDescent="0.25">
      <c r="A32" s="14">
        <v>10104</v>
      </c>
      <c r="B32" s="14">
        <v>10106</v>
      </c>
      <c r="C32" s="22">
        <v>60</v>
      </c>
      <c r="E32" s="22" t="str">
        <f t="shared" si="0"/>
        <v>C</v>
      </c>
      <c r="F32" s="22" t="str">
        <f t="shared" si="1"/>
        <v>D</v>
      </c>
    </row>
    <row r="33" spans="1:6" ht="15" x14ac:dyDescent="0.25">
      <c r="A33" s="14">
        <v>10110</v>
      </c>
      <c r="B33" s="14">
        <v>10112</v>
      </c>
      <c r="C33" s="22">
        <v>-1</v>
      </c>
      <c r="E33" s="22" t="str">
        <f t="shared" si="0"/>
        <v>F</v>
      </c>
      <c r="F33" s="22" t="str">
        <f t="shared" si="1"/>
        <v>G</v>
      </c>
    </row>
    <row r="34" spans="1:6" ht="15" x14ac:dyDescent="0.25">
      <c r="A34" s="14">
        <v>10100</v>
      </c>
      <c r="B34" s="14">
        <v>10114</v>
      </c>
      <c r="C34" s="22">
        <v>415</v>
      </c>
      <c r="E34" s="22" t="str">
        <f t="shared" si="0"/>
        <v>A</v>
      </c>
      <c r="F34" s="22" t="str">
        <f t="shared" si="1"/>
        <v>H</v>
      </c>
    </row>
    <row r="35" spans="1:6" ht="15" x14ac:dyDescent="0.25">
      <c r="A35" s="14">
        <v>10112</v>
      </c>
      <c r="B35" s="14">
        <v>10116</v>
      </c>
      <c r="C35" s="22">
        <v>65</v>
      </c>
      <c r="E35" s="22" t="str">
        <f t="shared" si="0"/>
        <v>G</v>
      </c>
      <c r="F35" s="22" t="str">
        <f t="shared" si="1"/>
        <v>I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acer</cp:lastModifiedBy>
  <dcterms:created xsi:type="dcterms:W3CDTF">2015-02-10T17:33:11Z</dcterms:created>
  <dcterms:modified xsi:type="dcterms:W3CDTF">2023-12-10T09:01:10Z</dcterms:modified>
</cp:coreProperties>
</file>